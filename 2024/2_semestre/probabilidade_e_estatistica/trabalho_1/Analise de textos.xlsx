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\Desktop\Facul\2024\Probabilidade e Estatística\"/>
    </mc:Choice>
  </mc:AlternateContent>
  <xr:revisionPtr revIDLastSave="0" documentId="13_ncr:1_{0038E02C-7FFB-465F-AF25-AA5083A4F51B}" xr6:coauthVersionLast="47" xr6:coauthVersionMax="47" xr10:uidLastSave="{00000000-0000-0000-0000-000000000000}"/>
  <bookViews>
    <workbookView xWindow="-108" yWindow="-108" windowWidth="23256" windowHeight="12576" xr2:uid="{569C2AA7-01E3-4C2B-AD5A-61337F8EA699}"/>
  </bookViews>
  <sheets>
    <sheet name="Result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I17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H17" i="1"/>
  <c r="G17" i="1"/>
  <c r="A23" i="1"/>
  <c r="O10" i="1"/>
  <c r="M10" i="1"/>
  <c r="O9" i="1"/>
  <c r="M9" i="1"/>
  <c r="O8" i="1"/>
  <c r="M8" i="1"/>
  <c r="O7" i="1"/>
  <c r="M7" i="1"/>
  <c r="J20" i="1"/>
  <c r="I20" i="1"/>
  <c r="H20" i="1"/>
  <c r="G20" i="1"/>
  <c r="J14" i="1"/>
  <c r="H14" i="1"/>
  <c r="I14" i="1"/>
  <c r="N10" i="1" l="1"/>
  <c r="N9" i="1"/>
  <c r="N7" i="1"/>
  <c r="N8" i="1"/>
</calcChain>
</file>

<file path=xl/sharedStrings.xml><?xml version="1.0" encoding="utf-8"?>
<sst xmlns="http://schemas.openxmlformats.org/spreadsheetml/2006/main" count="53" uniqueCount="20">
  <si>
    <t>Humanos</t>
  </si>
  <si>
    <t>SVM</t>
  </si>
  <si>
    <t>IA</t>
  </si>
  <si>
    <t>Legenda</t>
  </si>
  <si>
    <t>Resposta errada</t>
  </si>
  <si>
    <t>Resposta Correta</t>
  </si>
  <si>
    <t>Resposta</t>
  </si>
  <si>
    <t>Verdadeiros positivos</t>
  </si>
  <si>
    <t>Verdadeiros Negativos</t>
  </si>
  <si>
    <t>Falsos Negativos</t>
  </si>
  <si>
    <t>Falsos Positivos</t>
  </si>
  <si>
    <t xml:space="preserve">Humanos </t>
  </si>
  <si>
    <t>GPT 4.0</t>
  </si>
  <si>
    <t>GPT</t>
  </si>
  <si>
    <t>Acuracia</t>
  </si>
  <si>
    <t>Precisão</t>
  </si>
  <si>
    <t>Sensibilidade</t>
  </si>
  <si>
    <t>Especificidade</t>
  </si>
  <si>
    <t>Total de Humanos</t>
  </si>
  <si>
    <t>Humanos (Porcentagem de erros)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</si>
</sst>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9" fontId="0" fillId="0" borderId="0" xfId="1" applyFont="1"/>
    <xf numFmtId="0" fontId="0" fillId="0" borderId="0" xfId="0" applyAlignment="1">
      <alignment horizontal="left"/>
    </xf>
    <xf numFmtId="9" fontId="0" fillId="0" borderId="0" xfId="1" applyFont="1" applyAlignment="1">
      <alignment horizontal="center"/>
    </xf>
    <xf numFmtId="9" fontId="0" fillId="0" borderId="0" xfId="0" applyNumberFormat="1"/>
    <xf numFmtId="0" fontId="2" fillId="0" borderId="0" xfId="0" applyFont="1"/>
    <xf numFmtId="2" fontId="0" fillId="0" borderId="0" xfId="0" applyNumberFormat="1"/>
    <xf numFmtId="2" fontId="0" fillId="0" borderId="0" xfId="1" applyNumberFormat="1" applyFont="1"/>
    <xf numFmtId="1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52EEE-7E89-4B85-9244-D899D27B71C0}">
  <dimension ref="A1:R51"/>
  <sheetViews>
    <sheetView tabSelected="1" zoomScale="110" zoomScaleNormal="110" workbookViewId="0">
      <selection activeCell="J9" sqref="J9"/>
    </sheetView>
  </sheetViews>
  <sheetFormatPr defaultRowHeight="14.4" x14ac:dyDescent="0.3"/>
  <cols>
    <col min="1" max="1" width="15.44140625" bestFit="1" customWidth="1"/>
    <col min="4" max="4" width="10" customWidth="1"/>
    <col min="6" max="6" width="9.6640625" bestFit="1" customWidth="1"/>
    <col min="7" max="7" width="18.109375" bestFit="1" customWidth="1"/>
    <col min="8" max="8" width="21.109375" bestFit="1" customWidth="1"/>
    <col min="9" max="9" width="14.5546875" bestFit="1" customWidth="1"/>
    <col min="10" max="10" width="13.77734375" bestFit="1" customWidth="1"/>
    <col min="12" max="12" width="12.77734375" bestFit="1" customWidth="1"/>
    <col min="13" max="13" width="18.44140625" bestFit="1" customWidth="1"/>
    <col min="14" max="14" width="19.21875" bestFit="1" customWidth="1"/>
    <col min="15" max="15" width="13.77734375" bestFit="1" customWidth="1"/>
    <col min="16" max="16" width="14.5546875" bestFit="1" customWidth="1"/>
    <col min="18" max="18" width="28.33203125" bestFit="1" customWidth="1"/>
  </cols>
  <sheetData>
    <row r="1" spans="1:18" x14ac:dyDescent="0.3">
      <c r="A1" t="s">
        <v>0</v>
      </c>
      <c r="B1" t="s">
        <v>1</v>
      </c>
      <c r="C1" t="s">
        <v>12</v>
      </c>
      <c r="D1" t="s">
        <v>6</v>
      </c>
      <c r="R1" t="s">
        <v>19</v>
      </c>
    </row>
    <row r="2" spans="1:18" x14ac:dyDescent="0.3">
      <c r="A2" s="11">
        <v>0.20454545454545456</v>
      </c>
      <c r="B2" s="1">
        <v>0</v>
      </c>
      <c r="C2" s="1">
        <v>0</v>
      </c>
      <c r="D2" s="1" t="s">
        <v>2</v>
      </c>
      <c r="F2" t="s">
        <v>3</v>
      </c>
      <c r="R2" s="11">
        <f>1-Resultados!A2</f>
        <v>0.79545454545454541</v>
      </c>
    </row>
    <row r="3" spans="1:18" x14ac:dyDescent="0.3">
      <c r="A3" s="11">
        <v>0.22727272727272727</v>
      </c>
      <c r="B3" s="1">
        <v>1</v>
      </c>
      <c r="C3" s="1">
        <v>1</v>
      </c>
      <c r="D3" s="1" t="s">
        <v>2</v>
      </c>
      <c r="F3" s="1">
        <v>0</v>
      </c>
      <c r="G3" t="s">
        <v>4</v>
      </c>
      <c r="L3" s="1"/>
      <c r="R3" s="11">
        <f>1-Resultados!A3</f>
        <v>0.77272727272727271</v>
      </c>
    </row>
    <row r="4" spans="1:18" x14ac:dyDescent="0.3">
      <c r="A4" s="11">
        <v>0.29545454545454547</v>
      </c>
      <c r="B4" s="1">
        <v>1</v>
      </c>
      <c r="C4" s="1">
        <v>1</v>
      </c>
      <c r="D4" s="1" t="s">
        <v>2</v>
      </c>
      <c r="F4" s="1">
        <v>1</v>
      </c>
      <c r="G4" t="s">
        <v>5</v>
      </c>
      <c r="M4" s="4"/>
      <c r="N4" s="4"/>
      <c r="O4" s="4"/>
      <c r="P4" s="4"/>
      <c r="Q4" s="5"/>
      <c r="R4" s="11">
        <f>1-Resultados!A4</f>
        <v>0.70454545454545459</v>
      </c>
    </row>
    <row r="5" spans="1:18" x14ac:dyDescent="0.3">
      <c r="A5" s="11">
        <v>0.29545454545454547</v>
      </c>
      <c r="B5" s="1">
        <v>1</v>
      </c>
      <c r="C5" s="1">
        <v>1</v>
      </c>
      <c r="D5" s="1" t="s">
        <v>2</v>
      </c>
      <c r="G5" s="2"/>
      <c r="H5" s="2"/>
      <c r="M5" s="4"/>
      <c r="N5" s="4"/>
      <c r="O5" s="4"/>
      <c r="P5" s="4"/>
      <c r="Q5" s="5"/>
      <c r="R5" s="11">
        <f>1-Resultados!A5</f>
        <v>0.70454545454545459</v>
      </c>
    </row>
    <row r="6" spans="1:18" x14ac:dyDescent="0.3">
      <c r="A6" s="11">
        <v>0.13636363636363635</v>
      </c>
      <c r="B6" s="1">
        <v>1</v>
      </c>
      <c r="C6" s="1">
        <v>0</v>
      </c>
      <c r="D6" s="1" t="s">
        <v>2</v>
      </c>
      <c r="G6" s="2"/>
      <c r="H6" s="2"/>
      <c r="M6" s="4" t="s">
        <v>1</v>
      </c>
      <c r="N6" s="4" t="s">
        <v>0</v>
      </c>
      <c r="O6" s="4" t="s">
        <v>12</v>
      </c>
      <c r="P6" s="4"/>
      <c r="Q6" s="5"/>
      <c r="R6" s="11">
        <f>1-Resultados!A6</f>
        <v>0.86363636363636365</v>
      </c>
    </row>
    <row r="7" spans="1:18" x14ac:dyDescent="0.3">
      <c r="A7" s="11">
        <v>0.40909090909090912</v>
      </c>
      <c r="B7" s="1">
        <v>1</v>
      </c>
      <c r="C7" s="1">
        <v>0</v>
      </c>
      <c r="D7" s="1" t="s">
        <v>2</v>
      </c>
      <c r="G7" s="2"/>
      <c r="H7" s="2"/>
      <c r="L7" s="3" t="s">
        <v>14</v>
      </c>
      <c r="M7" s="4">
        <f>(SUM(G14,H14)/(SUM(G14:J14)))</f>
        <v>0.66666666666666674</v>
      </c>
      <c r="N7" s="4">
        <f>SUM(G17+H17)/SUM(G17:J17)</f>
        <v>0.4225378787878788</v>
      </c>
      <c r="O7" s="4">
        <f>(SUM(G20:H20)/SUM(G20:J20))</f>
        <v>0.6166666666666667</v>
      </c>
      <c r="P7" s="4"/>
      <c r="Q7" s="5"/>
      <c r="R7" s="11">
        <f>1-Resultados!A7</f>
        <v>0.59090909090909083</v>
      </c>
    </row>
    <row r="8" spans="1:18" x14ac:dyDescent="0.3">
      <c r="A8" s="11">
        <v>0.22727272727272727</v>
      </c>
      <c r="B8" s="1">
        <v>1</v>
      </c>
      <c r="C8" s="1">
        <v>0</v>
      </c>
      <c r="D8" s="1" t="s">
        <v>2</v>
      </c>
      <c r="F8" s="3"/>
      <c r="G8" s="2"/>
      <c r="L8" t="s">
        <v>15</v>
      </c>
      <c r="M8" s="9">
        <f>G14/(SUM(G14:H14))</f>
        <v>0.625</v>
      </c>
      <c r="N8" s="10">
        <f>G17/SUM(G17:H17)</f>
        <v>0.32496638278798751</v>
      </c>
      <c r="O8" s="10">
        <f>G20/(SUM(G20:H20))</f>
        <v>0.27027027027027023</v>
      </c>
      <c r="P8" s="5"/>
      <c r="R8" s="11">
        <f>1-Resultados!A8</f>
        <v>0.77272727272727271</v>
      </c>
    </row>
    <row r="9" spans="1:18" x14ac:dyDescent="0.3">
      <c r="A9" s="11">
        <v>0.29545454545454547</v>
      </c>
      <c r="B9" s="1">
        <v>1</v>
      </c>
      <c r="C9" s="1">
        <v>0</v>
      </c>
      <c r="D9" s="1" t="s">
        <v>2</v>
      </c>
      <c r="L9" t="s">
        <v>16</v>
      </c>
      <c r="M9" s="4">
        <f>G14/SUM(G14,I14)</f>
        <v>0.83333333333333337</v>
      </c>
      <c r="N9" s="9">
        <f>G17/SUM(G17,I17)</f>
        <v>0.38999462076385155</v>
      </c>
      <c r="O9" s="9">
        <f>G20/SUM(G20,I20)</f>
        <v>0.76923076923076916</v>
      </c>
      <c r="Q9" s="12"/>
      <c r="R9" s="11">
        <f>1-Resultados!A9</f>
        <v>0.70454545454545459</v>
      </c>
    </row>
    <row r="10" spans="1:18" x14ac:dyDescent="0.3">
      <c r="A10" s="11">
        <v>0.34090909090909088</v>
      </c>
      <c r="B10" s="1">
        <v>1</v>
      </c>
      <c r="C10" s="1">
        <v>0</v>
      </c>
      <c r="D10" s="1" t="s">
        <v>2</v>
      </c>
      <c r="F10" s="1"/>
      <c r="L10" t="s">
        <v>17</v>
      </c>
      <c r="M10" s="4">
        <f>H14/SUM(H14,J14)</f>
        <v>0.5</v>
      </c>
      <c r="N10" s="9">
        <f>H17/SUM(H17,J17)</f>
        <v>0.44022215726395797</v>
      </c>
      <c r="O10" s="9">
        <f>H20/SUM(H20,J20)</f>
        <v>0.57446808510638303</v>
      </c>
      <c r="Q10" s="12"/>
      <c r="R10" s="11">
        <f>1-Resultados!A10</f>
        <v>0.65909090909090917</v>
      </c>
    </row>
    <row r="11" spans="1:18" x14ac:dyDescent="0.3">
      <c r="A11" s="11">
        <v>0.13636363636363635</v>
      </c>
      <c r="B11" s="1">
        <v>0</v>
      </c>
      <c r="C11" s="1">
        <v>0</v>
      </c>
      <c r="D11" s="1" t="s">
        <v>2</v>
      </c>
      <c r="G11" s="2"/>
      <c r="Q11" s="12"/>
      <c r="R11" s="11">
        <f>1-Resultados!A11</f>
        <v>0.86363636363636365</v>
      </c>
    </row>
    <row r="12" spans="1:18" x14ac:dyDescent="0.3">
      <c r="A12" s="11">
        <v>0.36363636363636365</v>
      </c>
      <c r="B12" s="1">
        <v>1</v>
      </c>
      <c r="C12" s="1">
        <v>0</v>
      </c>
      <c r="D12" s="1" t="s">
        <v>2</v>
      </c>
      <c r="G12" s="2"/>
      <c r="Q12" s="12"/>
      <c r="R12" s="11">
        <f>1-Resultados!A12</f>
        <v>0.63636363636363635</v>
      </c>
    </row>
    <row r="13" spans="1:18" x14ac:dyDescent="0.3">
      <c r="A13" s="11">
        <v>0.36363636363636365</v>
      </c>
      <c r="B13" s="1">
        <v>1</v>
      </c>
      <c r="C13" s="1">
        <v>1</v>
      </c>
      <c r="D13" s="1" t="s">
        <v>2</v>
      </c>
      <c r="F13" t="s">
        <v>1</v>
      </c>
      <c r="G13" s="2" t="s">
        <v>7</v>
      </c>
      <c r="H13" t="s">
        <v>8</v>
      </c>
      <c r="I13" t="s">
        <v>9</v>
      </c>
      <c r="J13" t="s">
        <v>10</v>
      </c>
      <c r="N13" s="6"/>
      <c r="Q13" s="12"/>
      <c r="R13" s="11">
        <f>1-Resultados!A13</f>
        <v>0.63636363636363635</v>
      </c>
    </row>
    <row r="14" spans="1:18" x14ac:dyDescent="0.3">
      <c r="A14" s="11">
        <v>0.38636363636363635</v>
      </c>
      <c r="B14" s="1">
        <v>0</v>
      </c>
      <c r="C14" s="1">
        <v>1</v>
      </c>
      <c r="D14" s="1" t="s">
        <v>0</v>
      </c>
      <c r="F14" s="3"/>
      <c r="G14" s="8">
        <v>0.83333333333333337</v>
      </c>
      <c r="H14" s="7">
        <f>5/10</f>
        <v>0.5</v>
      </c>
      <c r="I14" s="7">
        <f>2/12</f>
        <v>0.16666666666666666</v>
      </c>
      <c r="J14" s="7">
        <f>5/10</f>
        <v>0.5</v>
      </c>
      <c r="Q14" s="12"/>
      <c r="R14" s="11">
        <f>1-Resultados!A14</f>
        <v>0.61363636363636365</v>
      </c>
    </row>
    <row r="15" spans="1:18" x14ac:dyDescent="0.3">
      <c r="A15" s="11">
        <v>0.72727272727272729</v>
      </c>
      <c r="B15" s="1">
        <v>0</v>
      </c>
      <c r="C15" s="1">
        <v>1</v>
      </c>
      <c r="D15" s="1" t="s">
        <v>0</v>
      </c>
      <c r="Q15" s="12"/>
      <c r="R15" s="11">
        <f>1-Resultados!A15</f>
        <v>0.27272727272727271</v>
      </c>
    </row>
    <row r="16" spans="1:18" x14ac:dyDescent="0.3">
      <c r="A16" s="11">
        <v>0.54545454545454541</v>
      </c>
      <c r="B16" s="1">
        <v>0</v>
      </c>
      <c r="C16" s="1">
        <v>1</v>
      </c>
      <c r="D16" s="1" t="s">
        <v>0</v>
      </c>
      <c r="F16" t="s">
        <v>11</v>
      </c>
      <c r="G16" s="2" t="s">
        <v>7</v>
      </c>
      <c r="H16" t="s">
        <v>8</v>
      </c>
      <c r="I16" t="s">
        <v>9</v>
      </c>
      <c r="J16" t="s">
        <v>10</v>
      </c>
      <c r="Q16" s="12"/>
      <c r="R16" s="11">
        <f>1-Resultados!A16</f>
        <v>0.45454545454545459</v>
      </c>
    </row>
    <row r="17" spans="1:18" x14ac:dyDescent="0.3">
      <c r="A17" s="11">
        <v>0.88636363636363635</v>
      </c>
      <c r="B17" s="1">
        <v>1</v>
      </c>
      <c r="C17" s="1">
        <v>1</v>
      </c>
      <c r="D17" s="1" t="s">
        <v>0</v>
      </c>
      <c r="G17" s="7">
        <f>SUM(A2:A13)/12</f>
        <v>0.27462121212121215</v>
      </c>
      <c r="H17" s="7">
        <f>SUM(A14:A23)/10</f>
        <v>0.57045454545454544</v>
      </c>
      <c r="I17" s="7">
        <f>SUM(R14:R23)/10</f>
        <v>0.42954545454545456</v>
      </c>
      <c r="J17" s="7">
        <f>SUM(R2:R13)/12</f>
        <v>0.72537878787878773</v>
      </c>
      <c r="Q17" s="12"/>
      <c r="R17" s="11">
        <f>1-Resultados!A17</f>
        <v>0.11363636363636365</v>
      </c>
    </row>
    <row r="18" spans="1:18" x14ac:dyDescent="0.3">
      <c r="A18" s="11">
        <v>0.45454545454545453</v>
      </c>
      <c r="B18" s="1">
        <v>1</v>
      </c>
      <c r="C18" s="1">
        <v>1</v>
      </c>
      <c r="D18" s="1" t="s">
        <v>0</v>
      </c>
      <c r="Q18" s="12"/>
      <c r="R18" s="11">
        <f>1-Resultados!A18</f>
        <v>0.54545454545454541</v>
      </c>
    </row>
    <row r="19" spans="1:18" x14ac:dyDescent="0.3">
      <c r="A19" s="11">
        <v>0.45454545454545453</v>
      </c>
      <c r="B19" s="1">
        <v>0</v>
      </c>
      <c r="C19" s="1">
        <v>1</v>
      </c>
      <c r="D19" s="1" t="s">
        <v>0</v>
      </c>
      <c r="F19" t="s">
        <v>13</v>
      </c>
      <c r="G19" s="2" t="s">
        <v>7</v>
      </c>
      <c r="H19" t="s">
        <v>8</v>
      </c>
      <c r="I19" t="s">
        <v>9</v>
      </c>
      <c r="J19" t="s">
        <v>10</v>
      </c>
      <c r="Q19" s="12"/>
      <c r="R19" s="11">
        <f>1-Resultados!A19</f>
        <v>0.54545454545454541</v>
      </c>
    </row>
    <row r="20" spans="1:18" x14ac:dyDescent="0.3">
      <c r="A20" s="11">
        <v>0.70454545454545459</v>
      </c>
      <c r="B20" s="1">
        <v>1</v>
      </c>
      <c r="C20" s="1">
        <v>1</v>
      </c>
      <c r="D20" s="1" t="s">
        <v>0</v>
      </c>
      <c r="G20">
        <f>4/12</f>
        <v>0.33333333333333331</v>
      </c>
      <c r="H20" s="7">
        <f>9/10</f>
        <v>0.9</v>
      </c>
      <c r="I20" s="7">
        <f>1/10</f>
        <v>0.1</v>
      </c>
      <c r="J20" s="7">
        <f>8/12</f>
        <v>0.66666666666666663</v>
      </c>
      <c r="Q20" s="12"/>
      <c r="R20" s="11">
        <f>1-Resultados!A20</f>
        <v>0.29545454545454541</v>
      </c>
    </row>
    <row r="21" spans="1:18" x14ac:dyDescent="0.3">
      <c r="A21" s="11">
        <v>0.77272727272727271</v>
      </c>
      <c r="B21" s="1">
        <v>0</v>
      </c>
      <c r="C21" s="1">
        <v>1</v>
      </c>
      <c r="D21" s="1" t="s">
        <v>0</v>
      </c>
      <c r="Q21" s="12"/>
      <c r="R21" s="11">
        <f>1-Resultados!A21</f>
        <v>0.22727272727272729</v>
      </c>
    </row>
    <row r="22" spans="1:18" x14ac:dyDescent="0.3">
      <c r="A22" s="11">
        <v>0.5</v>
      </c>
      <c r="B22" s="1">
        <v>1</v>
      </c>
      <c r="C22" s="1">
        <v>1</v>
      </c>
      <c r="D22" s="1" t="s">
        <v>0</v>
      </c>
      <c r="Q22" s="12"/>
      <c r="R22" s="11">
        <f>1-Resultados!A22</f>
        <v>0.5</v>
      </c>
    </row>
    <row r="23" spans="1:18" x14ac:dyDescent="0.3">
      <c r="A23" s="11">
        <f>12/44</f>
        <v>0.27272727272727271</v>
      </c>
      <c r="B23" s="1">
        <v>1</v>
      </c>
      <c r="C23" s="1">
        <v>0</v>
      </c>
      <c r="D23" s="1" t="s">
        <v>0</v>
      </c>
      <c r="Q23" s="12"/>
      <c r="R23" s="11">
        <f>1-Resultados!A23</f>
        <v>0.72727272727272729</v>
      </c>
    </row>
    <row r="24" spans="1:18" x14ac:dyDescent="0.3">
      <c r="A24" t="s">
        <v>18</v>
      </c>
      <c r="B24" s="1"/>
      <c r="C24" s="1"/>
      <c r="Q24" s="12"/>
    </row>
    <row r="25" spans="1:18" x14ac:dyDescent="0.3">
      <c r="A25" s="1">
        <v>44</v>
      </c>
      <c r="Q25" s="12"/>
    </row>
    <row r="26" spans="1:18" x14ac:dyDescent="0.3">
      <c r="Q26" s="12"/>
    </row>
    <row r="27" spans="1:18" x14ac:dyDescent="0.3">
      <c r="Q27" s="12"/>
    </row>
    <row r="28" spans="1:18" x14ac:dyDescent="0.3">
      <c r="Q28" s="12"/>
    </row>
    <row r="29" spans="1:18" x14ac:dyDescent="0.3">
      <c r="Q29" s="12"/>
    </row>
    <row r="30" spans="1:18" x14ac:dyDescent="0.3">
      <c r="Q30" s="12"/>
    </row>
    <row r="31" spans="1:18" x14ac:dyDescent="0.3">
      <c r="Q31" s="12"/>
    </row>
    <row r="32" spans="1:18" x14ac:dyDescent="0.3">
      <c r="Q32" s="12"/>
    </row>
    <row r="33" spans="17:17" x14ac:dyDescent="0.3">
      <c r="Q33" s="12"/>
    </row>
    <row r="34" spans="17:17" x14ac:dyDescent="0.3">
      <c r="Q34" s="12"/>
    </row>
    <row r="35" spans="17:17" x14ac:dyDescent="0.3">
      <c r="Q35" s="12"/>
    </row>
    <row r="36" spans="17:17" x14ac:dyDescent="0.3">
      <c r="Q36" s="12"/>
    </row>
    <row r="37" spans="17:17" x14ac:dyDescent="0.3">
      <c r="Q37" s="12"/>
    </row>
    <row r="38" spans="17:17" x14ac:dyDescent="0.3">
      <c r="Q38" s="12"/>
    </row>
    <row r="39" spans="17:17" x14ac:dyDescent="0.3">
      <c r="Q39" s="12"/>
    </row>
    <row r="40" spans="17:17" x14ac:dyDescent="0.3">
      <c r="Q40" s="12"/>
    </row>
    <row r="41" spans="17:17" x14ac:dyDescent="0.3">
      <c r="Q41" s="12"/>
    </row>
    <row r="42" spans="17:17" x14ac:dyDescent="0.3">
      <c r="Q42" s="12"/>
    </row>
    <row r="43" spans="17:17" x14ac:dyDescent="0.3">
      <c r="Q43" s="12"/>
    </row>
    <row r="44" spans="17:17" x14ac:dyDescent="0.3">
      <c r="Q44" s="12"/>
    </row>
    <row r="45" spans="17:17" x14ac:dyDescent="0.3">
      <c r="Q45" s="12"/>
    </row>
    <row r="46" spans="17:17" x14ac:dyDescent="0.3">
      <c r="Q46" s="12"/>
    </row>
    <row r="47" spans="17:17" x14ac:dyDescent="0.3">
      <c r="Q47" s="12"/>
    </row>
    <row r="48" spans="17:17" x14ac:dyDescent="0.3">
      <c r="Q48" s="12"/>
    </row>
    <row r="49" spans="17:17" x14ac:dyDescent="0.3">
      <c r="Q49" s="12"/>
    </row>
    <row r="50" spans="17:17" x14ac:dyDescent="0.3">
      <c r="Q50" s="12"/>
    </row>
    <row r="51" spans="17:17" x14ac:dyDescent="0.3">
      <c r="Q51" s="12"/>
    </row>
  </sheetData>
  <mergeCells count="1">
    <mergeCell ref="Q9:Q5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do Amparo Lauria</dc:creator>
  <cp:lastModifiedBy>Felipe do Amparo Lauria</cp:lastModifiedBy>
  <dcterms:created xsi:type="dcterms:W3CDTF">2024-08-21T21:08:54Z</dcterms:created>
  <dcterms:modified xsi:type="dcterms:W3CDTF">2024-08-22T23:29:01Z</dcterms:modified>
</cp:coreProperties>
</file>